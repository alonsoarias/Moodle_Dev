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dios_Educativos\Downloads\"/>
    </mc:Choice>
  </mc:AlternateContent>
  <xr:revisionPtr revIDLastSave="0" documentId="13_ncr:1_{E68D9142-697D-44D0-84AF-535207D87F87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hoja1" sheetId="2" state="hidden" r:id="rId1"/>
    <sheet name="PRODUCCION RECURSOS" sheetId="1" r:id="rId2"/>
  </sheets>
  <definedNames>
    <definedName name="modulos">hoja1!#REF!</definedName>
    <definedName name="RECURSOS_COLABORATIVOS">hoja1!$G$6:$G$8</definedName>
    <definedName name="RECURSOS_EDUCATIVOS_DIGITALES">hoja1!$D$6:$D$16</definedName>
    <definedName name="RECURSOS_EVALUATIVOS">hoja1!$F$6:$F$11</definedName>
    <definedName name="RECURSOS_EXTERNOS">hoja1!$H$6:$H$7</definedName>
    <definedName name="RECURSOS_INTERACTIVOS_DIGITALES">hoja1!$E$6:$E$21</definedName>
    <definedName name="SELECCIONE_EL_TIPO_DE_RECURSO">hoja1!$C$6</definedName>
    <definedName name="SINO">hoja1!#REF!</definedName>
    <definedName name="TIPOS_RECURSOS">hoja1!$B$4:$B$9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" l="1"/>
  <c r="H57" i="1"/>
  <c r="H56" i="1"/>
  <c r="H55" i="1"/>
  <c r="H54" i="1"/>
  <c r="H53" i="1"/>
  <c r="H5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tc={4838F0FA-B343-4820-904A-042EE52413B2}</author>
  </authors>
  <commentList>
    <comment ref="H3" authorId="0" shapeId="0" xr:uid="{00000000-0006-0000-01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 Metodológico</t>
      </text>
    </comment>
  </commentList>
</comments>
</file>

<file path=xl/sharedStrings.xml><?xml version="1.0" encoding="utf-8"?>
<sst xmlns="http://schemas.openxmlformats.org/spreadsheetml/2006/main" count="284" uniqueCount="115">
  <si>
    <t>SELECCIONE_EL_TIPO_DE_RECURSO</t>
  </si>
  <si>
    <t>Si</t>
  </si>
  <si>
    <t>RECURSOS_EDUCATIVOS_DIGITALES</t>
  </si>
  <si>
    <t>RECURSOS EDUCATIVOS DIGITALES</t>
  </si>
  <si>
    <t>RECURSOS INTERACTIVOS DIGITALES</t>
  </si>
  <si>
    <t>RECURSOS EVALUATIVOS</t>
  </si>
  <si>
    <t>RECURSOS COLABORATIVOS</t>
  </si>
  <si>
    <t>RECURSOS EXTERNOS</t>
  </si>
  <si>
    <t>No</t>
  </si>
  <si>
    <t>RECURSOS_INTERACTIVOS_DIGITALES</t>
  </si>
  <si>
    <t>SELECCIONE EL RECURSO</t>
  </si>
  <si>
    <t>E-book</t>
  </si>
  <si>
    <t>Opción única</t>
  </si>
  <si>
    <t>RECURSOS_EVALUATIVOS</t>
  </si>
  <si>
    <t>Opción múltiple</t>
  </si>
  <si>
    <t>Wiki</t>
  </si>
  <si>
    <t>RECURSOS_COLABORATIVOS</t>
  </si>
  <si>
    <t>Video Clase</t>
  </si>
  <si>
    <t>Verdadero o falso</t>
  </si>
  <si>
    <t>RECURSOS_EXTERNOS</t>
  </si>
  <si>
    <t>Podcast</t>
  </si>
  <si>
    <t>Marca las palabras</t>
  </si>
  <si>
    <t>Tarea</t>
  </si>
  <si>
    <t>Comic Virtual</t>
  </si>
  <si>
    <t>Espacios en blanco</t>
  </si>
  <si>
    <t>Paso a Paso</t>
  </si>
  <si>
    <t>Dictado</t>
  </si>
  <si>
    <t>Lección</t>
  </si>
  <si>
    <t>Línea de Tiempo</t>
  </si>
  <si>
    <t>Tarjeta didáctica</t>
  </si>
  <si>
    <t>Infografía</t>
  </si>
  <si>
    <t>Tarjetas de diálogo</t>
  </si>
  <si>
    <t xml:space="preserve">Mapa Conceptual </t>
  </si>
  <si>
    <t>Hotspots</t>
  </si>
  <si>
    <t>Mapa Mental</t>
  </si>
  <si>
    <t>Emparejamiento</t>
  </si>
  <si>
    <t>Arrastra las palabras</t>
  </si>
  <si>
    <t>Crucigrama</t>
  </si>
  <si>
    <t>Ordena los párrafos</t>
  </si>
  <si>
    <t>PROGRAMA ACADÉMICO</t>
  </si>
  <si>
    <t>Escriba el nombre del programa académico</t>
  </si>
  <si>
    <t xml:space="preserve">NOMBRE DEL CURSO </t>
  </si>
  <si>
    <t>Escriba el nombre del curso</t>
  </si>
  <si>
    <t>Escriba el nombre del diseñador Instruccional</t>
  </si>
  <si>
    <t>EXPERTO DISCIPLINAR</t>
  </si>
  <si>
    <t>Escriba el nombre del experto disciplinar</t>
  </si>
  <si>
    <t>PAR ACADÉMICO</t>
  </si>
  <si>
    <t>Escriba del par académico</t>
  </si>
  <si>
    <t>CORRECTOR DE ESTILO</t>
  </si>
  <si>
    <t>Escriba el nombre del corrector de estilo</t>
  </si>
  <si>
    <t>COORDINACIÓN PRODUCCIÓN</t>
  </si>
  <si>
    <t>Escriba el nombre del coordinador</t>
  </si>
  <si>
    <t>PRODUCCIÓN</t>
  </si>
  <si>
    <t>Escriba el nombre del profesional de diseño</t>
  </si>
  <si>
    <t>ALISTAMIENTO</t>
  </si>
  <si>
    <t>Escriba el nombre del profesional de alistamiento</t>
  </si>
  <si>
    <t>RECURSOS GENERALES DEL CURSO</t>
  </si>
  <si>
    <t>CURSO VIRTUAL PORTABLE - CVP</t>
  </si>
  <si>
    <t>SALA PARA CLASES VIRTUALES</t>
  </si>
  <si>
    <t>RECURSOS DE LA UNIDAD</t>
  </si>
  <si>
    <t>RECURSOS DEL TEMA</t>
  </si>
  <si>
    <t>UNIDAD</t>
  </si>
  <si>
    <t>TIPO</t>
  </si>
  <si>
    <t>RECURSO</t>
  </si>
  <si>
    <t>ITEM</t>
  </si>
  <si>
    <t>TEMA</t>
  </si>
  <si>
    <t>INGRESAR NOMBRE DE LA UNIDAD</t>
  </si>
  <si>
    <t>1.1</t>
  </si>
  <si>
    <t>INGRESAR NOMBRE DEL TEMA</t>
  </si>
  <si>
    <t>1.2</t>
  </si>
  <si>
    <t>1.3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</si>
  <si>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</si>
  <si>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</si>
  <si>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</si>
  <si>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</si>
  <si>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</si>
  <si>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</si>
  <si>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</si>
  <si>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</si>
  <si>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</si>
  <si>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Cantidad Total de Recursos Generales</t>
  </si>
  <si>
    <t>Cantidad Total de Recursos Educativos Digitales</t>
  </si>
  <si>
    <t>Cantidad Total de Recursos Interactivos  Digitales</t>
  </si>
  <si>
    <t>Cantidad Total de Recursos Evaluativos</t>
  </si>
  <si>
    <t>Cantidad Total de Recursos Colaborativos</t>
  </si>
  <si>
    <t xml:space="preserve">Cantidad Total de Recursos Externos </t>
  </si>
  <si>
    <t>Cantidad total de Recursos</t>
  </si>
  <si>
    <t>Video Interactivo</t>
  </si>
  <si>
    <t>1.4</t>
  </si>
  <si>
    <t>1.5</t>
  </si>
  <si>
    <t>2.4</t>
  </si>
  <si>
    <t>2.5</t>
  </si>
  <si>
    <t>3.4</t>
  </si>
  <si>
    <t>3.5</t>
  </si>
  <si>
    <t>4.4</t>
  </si>
  <si>
    <t>4.5</t>
  </si>
  <si>
    <t>5.1</t>
  </si>
  <si>
    <t>5.2</t>
  </si>
  <si>
    <t>5.3</t>
  </si>
  <si>
    <t>5.4</t>
  </si>
  <si>
    <t>5.5</t>
  </si>
  <si>
    <t>ASESOR METODOLÓGICO</t>
  </si>
  <si>
    <t xml:space="preserve">hardware </t>
  </si>
  <si>
    <t>Video con diapositivas</t>
  </si>
  <si>
    <t>Video explicativo</t>
  </si>
  <si>
    <t>VIDEO DE BIENVENIDA</t>
  </si>
  <si>
    <t>FORO DEL CURSO</t>
  </si>
  <si>
    <t>MAPA DEL CURSO</t>
  </si>
  <si>
    <t>Sopa de letras</t>
  </si>
  <si>
    <t>Glosario interactivo</t>
  </si>
  <si>
    <t>Foro temático</t>
  </si>
  <si>
    <t>Foro social</t>
  </si>
  <si>
    <t>Video conferencias</t>
  </si>
  <si>
    <t>Paquetes</t>
  </si>
  <si>
    <t>Plataformas externas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</si>
</sst>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FFFFFF"/>
      <name val="Calibri"/>
      <family val="2"/>
    </font>
    <font>
      <sz val="14"/>
      <color theme="1"/>
      <name val="Calibri"/>
      <family val="2"/>
    </font>
    <font>
      <b/>
      <sz val="12"/>
      <color theme="0"/>
      <name val="Arial"/>
      <family val="2"/>
    </font>
    <font>
      <b/>
      <sz val="11"/>
      <color rgb="FF0C0C0C"/>
      <name val="Arial"/>
      <family val="2"/>
    </font>
    <font>
      <b/>
      <sz val="11"/>
      <color rgb="FFFFFFFF"/>
      <name val="Arial"/>
      <family val="2"/>
    </font>
    <font>
      <sz val="18"/>
      <color theme="1"/>
      <name val="Arial"/>
      <family val="2"/>
    </font>
    <font>
      <sz val="11"/>
      <color rgb="FF0C0C0C"/>
      <name val="Arial"/>
      <family val="2"/>
    </font>
    <font>
      <sz val="11"/>
      <color rgb="FFFFFF00"/>
      <name val="Arial"/>
      <family val="2"/>
    </font>
    <font>
      <b/>
      <sz val="11"/>
      <color theme="2" tint="-0.24997711111789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9CC2E5"/>
        <bgColor rgb="FF9CC2E5"/>
      </patternFill>
    </fill>
    <fill>
      <patternFill patternType="solid">
        <fgColor theme="5" tint="0.39997558519241921"/>
        <bgColor rgb="FF9CC2E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7" tint="0.59999389629810485"/>
        <bgColor rgb="FF9CC2E5"/>
      </patternFill>
    </fill>
    <fill>
      <patternFill patternType="solid">
        <fgColor theme="9" tint="0.39997558519241921"/>
        <bgColor rgb="FF9CC2E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rgb="FFFFFFFF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thick">
        <color indexed="64"/>
      </right>
      <top style="thick">
        <color indexed="64"/>
      </top>
      <bottom/>
      <diagonal/>
    </border>
    <border>
      <left/>
      <right style="thick">
        <color rgb="FF000000"/>
      </right>
      <top style="thick">
        <color indexed="64"/>
      </top>
      <bottom/>
      <diagonal/>
    </border>
    <border>
      <left style="medium">
        <color rgb="FFCCCCCC"/>
      </left>
      <right style="medium">
        <color rgb="FF00B050"/>
      </right>
      <top style="thick">
        <color indexed="64"/>
      </top>
      <bottom/>
      <diagonal/>
    </border>
    <border>
      <left style="medium">
        <color rgb="FF00B050"/>
      </left>
      <right style="thick">
        <color rgb="FF000000"/>
      </right>
      <top style="medium">
        <color rgb="FFCCCCCC"/>
      </top>
      <bottom/>
      <diagonal/>
    </border>
    <border>
      <left style="medium">
        <color rgb="FF00B05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rgb="FF00B050"/>
      </right>
      <top style="thick">
        <color indexed="64"/>
      </top>
      <bottom style="thick">
        <color indexed="64"/>
      </bottom>
      <diagonal/>
    </border>
    <border>
      <left style="medium">
        <color rgb="FF00B050"/>
      </left>
      <right style="thick">
        <color indexed="64"/>
      </right>
      <top style="thick">
        <color indexed="64"/>
      </top>
      <bottom style="medium">
        <color rgb="FF00B05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rgb="FF00B050"/>
      </bottom>
      <diagonal/>
    </border>
    <border>
      <left style="thick">
        <color indexed="64"/>
      </left>
      <right style="medium">
        <color rgb="FF00B050"/>
      </right>
      <top style="thick">
        <color indexed="64"/>
      </top>
      <bottom style="medium">
        <color rgb="FF00B050"/>
      </bottom>
      <diagonal/>
    </border>
    <border>
      <left style="medium">
        <color rgb="FF00B050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rgb="FF00B050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rgb="FF00B050"/>
      </left>
      <right/>
      <top style="medium">
        <color rgb="FF00B050"/>
      </top>
      <bottom style="thick">
        <color indexed="64"/>
      </bottom>
      <diagonal/>
    </border>
    <border>
      <left/>
      <right/>
      <top style="medium">
        <color rgb="FF00B050"/>
      </top>
      <bottom style="thick">
        <color indexed="64"/>
      </bottom>
      <diagonal/>
    </border>
    <border>
      <left/>
      <right style="medium">
        <color rgb="FF00B050"/>
      </right>
      <top style="medium">
        <color rgb="FF00B050"/>
      </top>
      <bottom style="thick">
        <color indexed="64"/>
      </bottom>
      <diagonal/>
    </border>
    <border>
      <left style="medium">
        <color rgb="FF00B050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rgb="FF00B05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ck">
        <color indexed="64"/>
      </left>
      <right style="medium">
        <color rgb="FF00B050"/>
      </right>
      <top style="thick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4" xfId="0" applyBorder="1"/>
    <xf numFmtId="0" fontId="0" fillId="0" borderId="5" xfId="0" applyBorder="1"/>
    <xf numFmtId="0" fontId="2" fillId="3" borderId="5" xfId="0" applyFont="1" applyFill="1" applyBorder="1" applyAlignment="1">
      <alignment horizontal="left" vertical="center"/>
    </xf>
    <xf numFmtId="0" fontId="0" fillId="0" borderId="1" xfId="0" applyBorder="1"/>
    <xf numFmtId="0" fontId="2" fillId="4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11" borderId="0" xfId="0" applyFill="1"/>
    <xf numFmtId="0" fontId="6" fillId="0" borderId="0" xfId="0" applyFont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1" fillId="12" borderId="7" xfId="0" applyFont="1" applyFill="1" applyBorder="1" applyAlignment="1" applyProtection="1">
      <alignment horizontal="center" vertical="center" wrapText="1"/>
      <protection locked="0"/>
    </xf>
    <xf numFmtId="0" fontId="1" fillId="12" borderId="16" xfId="0" applyFont="1" applyFill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1" fillId="12" borderId="19" xfId="0" applyFont="1" applyFill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vertical="center" wrapText="1"/>
      <protection locked="0"/>
    </xf>
    <xf numFmtId="0" fontId="6" fillId="0" borderId="18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vertical="center"/>
      <protection locked="0"/>
    </xf>
    <xf numFmtId="0" fontId="5" fillId="6" borderId="24" xfId="0" applyFont="1" applyFill="1" applyBorder="1" applyAlignment="1">
      <alignment vertical="center" wrapText="1"/>
    </xf>
    <xf numFmtId="0" fontId="5" fillId="5" borderId="24" xfId="0" applyFont="1" applyFill="1" applyBorder="1" applyAlignment="1">
      <alignment vertical="center"/>
    </xf>
    <xf numFmtId="0" fontId="11" fillId="7" borderId="7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wrapText="1"/>
    </xf>
    <xf numFmtId="0" fontId="7" fillId="7" borderId="12" xfId="0" applyFont="1" applyFill="1" applyBorder="1" applyAlignment="1">
      <alignment horizont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wrapText="1"/>
    </xf>
    <xf numFmtId="0" fontId="11" fillId="7" borderId="12" xfId="0" applyFont="1" applyFill="1" applyBorder="1" applyAlignment="1">
      <alignment horizont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wrapText="1"/>
    </xf>
    <xf numFmtId="0" fontId="6" fillId="0" borderId="17" xfId="0" applyFont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wrapText="1"/>
    </xf>
    <xf numFmtId="0" fontId="6" fillId="0" borderId="7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14" fillId="14" borderId="7" xfId="0" applyFont="1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6" fillId="0" borderId="1" xfId="0" applyFont="1" applyBorder="1" applyAlignment="1">
      <alignment wrapText="1"/>
    </xf>
    <xf numFmtId="0" fontId="5" fillId="13" borderId="24" xfId="0" applyFont="1" applyFill="1" applyBorder="1" applyAlignment="1">
      <alignment vertical="center" wrapText="1"/>
    </xf>
    <xf numFmtId="0" fontId="5" fillId="15" borderId="24" xfId="0" applyFont="1" applyFill="1" applyBorder="1" applyAlignment="1">
      <alignment vertical="center" wrapText="1"/>
    </xf>
    <xf numFmtId="0" fontId="2" fillId="4" borderId="35" xfId="0" applyFont="1" applyFill="1" applyBorder="1" applyAlignment="1">
      <alignment horizontal="center" vertical="center"/>
    </xf>
    <xf numFmtId="0" fontId="1" fillId="12" borderId="36" xfId="0" applyFont="1" applyFill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6" fillId="0" borderId="23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8" fillId="8" borderId="24" xfId="0" applyFont="1" applyFill="1" applyBorder="1" applyAlignment="1">
      <alignment horizontal="left" wrapText="1"/>
    </xf>
    <xf numFmtId="0" fontId="8" fillId="8" borderId="23" xfId="0" applyFont="1" applyFill="1" applyBorder="1" applyAlignment="1">
      <alignment horizontal="left" wrapText="1"/>
    </xf>
    <xf numFmtId="0" fontId="8" fillId="8" borderId="31" xfId="0" applyFont="1" applyFill="1" applyBorder="1" applyAlignment="1">
      <alignment horizontal="left" wrapText="1"/>
    </xf>
    <xf numFmtId="0" fontId="6" fillId="0" borderId="2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0" fontId="6" fillId="7" borderId="30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14" fillId="14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left" wrapText="1"/>
    </xf>
    <xf numFmtId="0" fontId="8" fillId="8" borderId="7" xfId="0" applyFont="1" applyFill="1" applyBorder="1" applyAlignment="1">
      <alignment horizontal="left" vertical="top" wrapText="1"/>
    </xf>
    <xf numFmtId="0" fontId="8" fillId="8" borderId="30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vertical="center" wrapText="1"/>
    </xf>
    <xf numFmtId="0" fontId="9" fillId="13" borderId="25" xfId="0" applyFont="1" applyFill="1" applyBorder="1" applyAlignment="1">
      <alignment horizontal="center" vertical="center"/>
    </xf>
    <xf numFmtId="0" fontId="9" fillId="13" borderId="26" xfId="0" applyFont="1" applyFill="1" applyBorder="1" applyAlignment="1">
      <alignment horizontal="center" vertical="center"/>
    </xf>
    <xf numFmtId="0" fontId="9" fillId="13" borderId="2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5" fillId="0" borderId="30" xfId="0" applyFont="1" applyBorder="1" applyAlignment="1" applyProtection="1">
      <alignment horizontal="left" vertical="center" wrapText="1"/>
      <protection locked="0"/>
    </xf>
    <xf numFmtId="0" fontId="15" fillId="0" borderId="7" xfId="0" applyFont="1" applyBorder="1" applyAlignment="1" applyProtection="1">
      <alignment horizontal="left" vertical="center" wrapText="1"/>
      <protection locked="0"/>
    </xf>
    <xf numFmtId="0" fontId="15" fillId="0" borderId="32" xfId="0" applyFont="1" applyBorder="1" applyAlignment="1" applyProtection="1">
      <alignment horizontal="left" vertical="center" wrapText="1"/>
      <protection locked="0"/>
    </xf>
    <xf numFmtId="0" fontId="15" fillId="0" borderId="33" xfId="0" applyFont="1" applyBorder="1" applyAlignment="1" applyProtection="1">
      <alignment horizontal="left" vertical="center" wrapText="1"/>
      <protection locked="0"/>
    </xf>
    <xf numFmtId="0" fontId="15" fillId="0" borderId="34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853A0"/>
      <color rgb="FF5BFF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171449</xdr:rowOff>
    </xdr:from>
    <xdr:to>
      <xdr:col>6</xdr:col>
      <xdr:colOff>2898424</xdr:colOff>
      <xdr:row>7</xdr:row>
      <xdr:rowOff>47625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2A11B2-F524-5AD9-C8F1-8D51F83B3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4"/>
          <a:ext cx="6327424" cy="14954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oordinación Oferta Educativa" id="{477E1523-3348-4443-9E38-B4D2109DB6FA}" userId="S::coord.ofertaeducativa@udes.edu.co::d977c468-8ea0-4e34-bf6e-df9fad5cffd9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08-15T15:54:01.42" personId="{477E1523-3348-4443-9E38-B4D2109DB6FA}" id="{4838F0FA-B343-4820-904A-042EE52413B2}">
    <text>Asesor Metodológico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2"/>
  <sheetViews>
    <sheetView topLeftCell="B1" workbookViewId="0">
      <selection activeCell="C2" sqref="C2"/>
    </sheetView>
  </sheetViews>
  <sheetFormatPr baseColWidth="10" defaultColWidth="12.625" defaultRowHeight="15" customHeight="1" x14ac:dyDescent="0.2"/>
  <cols>
    <col min="1" max="1" width="18.875" customWidth="1"/>
    <col min="2" max="2" width="38.625" bestFit="1" customWidth="1"/>
    <col min="3" max="3" width="35.75" bestFit="1" customWidth="1"/>
    <col min="4" max="4" width="42.625" customWidth="1"/>
    <col min="5" max="5" width="35.5" bestFit="1" customWidth="1"/>
    <col min="6" max="6" width="24.5" bestFit="1" customWidth="1"/>
    <col min="7" max="7" width="28" bestFit="1" customWidth="1"/>
    <col min="8" max="8" width="22.375" bestFit="1" customWidth="1"/>
    <col min="9" max="23" width="9.375" customWidth="1"/>
  </cols>
  <sheetData>
    <row r="1" spans="1:8" ht="14.25" customHeight="1" x14ac:dyDescent="0.2"/>
    <row r="2" spans="1:8" ht="14.25" customHeight="1" x14ac:dyDescent="0.2"/>
    <row r="3" spans="1:8" ht="14.25" customHeight="1" x14ac:dyDescent="0.2"/>
    <row r="4" spans="1:8" ht="14.25" customHeight="1" x14ac:dyDescent="0.2">
      <c r="B4" s="9" t="s">
        <v>0</v>
      </c>
    </row>
    <row r="5" spans="1:8" ht="14.25" customHeight="1" x14ac:dyDescent="0.2">
      <c r="A5" t="s">
        <v>1</v>
      </c>
      <c r="B5" s="9" t="s">
        <v>2</v>
      </c>
      <c r="C5" s="9" t="s">
        <v>0</v>
      </c>
      <c r="D5" s="2" t="s">
        <v>3</v>
      </c>
      <c r="E5" s="1" t="s">
        <v>4</v>
      </c>
      <c r="F5" t="s">
        <v>5</v>
      </c>
      <c r="G5" t="s">
        <v>6</v>
      </c>
      <c r="H5" t="s">
        <v>7</v>
      </c>
    </row>
    <row r="6" spans="1:8" ht="14.25" customHeight="1" x14ac:dyDescent="0.2">
      <c r="A6" t="s">
        <v>8</v>
      </c>
      <c r="B6" s="9" t="s">
        <v>9</v>
      </c>
      <c r="C6" s="9" t="s">
        <v>10</v>
      </c>
      <c r="D6" s="3" t="s">
        <v>104</v>
      </c>
      <c r="E6" s="5" t="s">
        <v>12</v>
      </c>
      <c r="F6" s="6" t="s">
        <v>12</v>
      </c>
      <c r="G6" s="8" t="s">
        <v>111</v>
      </c>
      <c r="H6" s="7" t="s">
        <v>113</v>
      </c>
    </row>
    <row r="7" spans="1:8" ht="14.25" customHeight="1" x14ac:dyDescent="0.2">
      <c r="B7" s="9" t="s">
        <v>13</v>
      </c>
      <c r="D7" s="3" t="s">
        <v>103</v>
      </c>
      <c r="E7" s="5" t="s">
        <v>14</v>
      </c>
      <c r="F7" s="6" t="s">
        <v>14</v>
      </c>
      <c r="G7" s="8" t="s">
        <v>15</v>
      </c>
      <c r="H7" s="7" t="s">
        <v>114</v>
      </c>
    </row>
    <row r="8" spans="1:8" ht="14.25" customHeight="1" x14ac:dyDescent="0.2">
      <c r="B8" s="9" t="s">
        <v>16</v>
      </c>
      <c r="D8" s="3" t="s">
        <v>17</v>
      </c>
      <c r="E8" s="5" t="s">
        <v>18</v>
      </c>
      <c r="F8" s="6" t="s">
        <v>18</v>
      </c>
      <c r="G8" s="8" t="s">
        <v>112</v>
      </c>
    </row>
    <row r="9" spans="1:8" ht="14.25" customHeight="1" x14ac:dyDescent="0.2">
      <c r="B9" s="9" t="s">
        <v>19</v>
      </c>
      <c r="D9" s="3" t="s">
        <v>20</v>
      </c>
      <c r="E9" s="5" t="s">
        <v>21</v>
      </c>
      <c r="F9" s="6" t="s">
        <v>22</v>
      </c>
    </row>
    <row r="10" spans="1:8" ht="14.25" customHeight="1" x14ac:dyDescent="0.2">
      <c r="D10" s="3" t="s">
        <v>23</v>
      </c>
      <c r="E10" s="5" t="s">
        <v>24</v>
      </c>
      <c r="F10" s="6" t="s">
        <v>110</v>
      </c>
    </row>
    <row r="11" spans="1:8" ht="14.25" customHeight="1" x14ac:dyDescent="0.2">
      <c r="D11" s="3" t="s">
        <v>25</v>
      </c>
      <c r="E11" s="5" t="s">
        <v>26</v>
      </c>
      <c r="F11" s="6" t="s">
        <v>27</v>
      </c>
    </row>
    <row r="12" spans="1:8" ht="14.25" customHeight="1" x14ac:dyDescent="0.2">
      <c r="D12" s="3" t="s">
        <v>28</v>
      </c>
      <c r="E12" s="5" t="s">
        <v>29</v>
      </c>
    </row>
    <row r="13" spans="1:8" ht="14.25" customHeight="1" x14ac:dyDescent="0.2">
      <c r="D13" s="3" t="s">
        <v>30</v>
      </c>
      <c r="E13" s="5" t="s">
        <v>31</v>
      </c>
    </row>
    <row r="14" spans="1:8" ht="17.25" customHeight="1" x14ac:dyDescent="0.2">
      <c r="D14" s="3" t="s">
        <v>32</v>
      </c>
      <c r="E14" s="5" t="s">
        <v>33</v>
      </c>
    </row>
    <row r="15" spans="1:8" ht="17.25" customHeight="1" x14ac:dyDescent="0.2">
      <c r="B15" s="9" t="s">
        <v>0</v>
      </c>
      <c r="D15" s="3" t="s">
        <v>34</v>
      </c>
      <c r="E15" s="5" t="s">
        <v>35</v>
      </c>
    </row>
    <row r="16" spans="1:8" ht="17.25" customHeight="1" x14ac:dyDescent="0.2">
      <c r="B16" s="9" t="s">
        <v>2</v>
      </c>
      <c r="D16" s="3" t="s">
        <v>11</v>
      </c>
      <c r="E16" s="5" t="s">
        <v>36</v>
      </c>
    </row>
    <row r="17" spans="2:5" ht="17.25" customHeight="1" x14ac:dyDescent="0.2">
      <c r="B17" s="9" t="s">
        <v>16</v>
      </c>
      <c r="D17" s="4"/>
      <c r="E17" s="5" t="s">
        <v>37</v>
      </c>
    </row>
    <row r="18" spans="2:5" ht="17.25" customHeight="1" x14ac:dyDescent="0.2">
      <c r="D18" s="4"/>
      <c r="E18" s="5" t="s">
        <v>108</v>
      </c>
    </row>
    <row r="19" spans="2:5" x14ac:dyDescent="0.2">
      <c r="D19" s="4"/>
      <c r="E19" s="5" t="s">
        <v>38</v>
      </c>
    </row>
    <row r="20" spans="2:5" x14ac:dyDescent="0.2">
      <c r="E20" s="51" t="s">
        <v>87</v>
      </c>
    </row>
    <row r="21" spans="2:5" x14ac:dyDescent="0.2">
      <c r="E21" s="51" t="s">
        <v>109</v>
      </c>
    </row>
    <row r="22" spans="2:5" ht="14.25" x14ac:dyDescent="0.2"/>
    <row r="23" spans="2:5" ht="14.25" x14ac:dyDescent="0.2"/>
    <row r="24" spans="2:5" ht="14.25" customHeight="1" x14ac:dyDescent="0.2"/>
    <row r="25" spans="2:5" ht="14.25" customHeight="1" x14ac:dyDescent="0.2"/>
    <row r="26" spans="2:5" ht="14.25" customHeight="1" x14ac:dyDescent="0.2"/>
    <row r="27" spans="2:5" ht="14.25" customHeight="1" x14ac:dyDescent="0.2"/>
    <row r="28" spans="2:5" ht="14.25" customHeight="1" x14ac:dyDescent="0.2"/>
    <row r="29" spans="2:5" ht="14.25" customHeight="1" x14ac:dyDescent="0.2"/>
    <row r="30" spans="2:5" ht="14.25" customHeight="1" x14ac:dyDescent="0.2"/>
    <row r="31" spans="2:5" ht="14.25" customHeight="1" x14ac:dyDescent="0.2"/>
    <row r="32" spans="2: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24"/>
  <sheetViews>
    <sheetView tabSelected="1" zoomScaleNormal="100" workbookViewId="0">
      <selection sqref="A1:G9"/>
    </sheetView>
  </sheetViews>
  <sheetFormatPr baseColWidth="10" defaultColWidth="12.625" defaultRowHeight="15" customHeight="1" x14ac:dyDescent="0.2"/>
  <cols>
    <col min="1" max="1" width="13.125" style="11" bestFit="1" customWidth="1"/>
    <col min="2" max="2" width="2.5" style="11" customWidth="1"/>
    <col min="3" max="3" width="10" style="11" customWidth="1"/>
    <col min="4" max="4" width="10.625" style="11" customWidth="1"/>
    <col min="5" max="5" width="2.625" style="11" customWidth="1"/>
    <col min="6" max="6" width="6.125" style="11" customWidth="1"/>
    <col min="7" max="7" width="38.125" style="11" customWidth="1"/>
    <col min="8" max="8" width="53.25" style="11" customWidth="1"/>
    <col min="9" max="9" width="7" style="11" customWidth="1"/>
    <col min="10" max="10" width="7.375" style="11" customWidth="1"/>
    <col min="11" max="11" width="30.875" style="11" customWidth="1"/>
    <col min="12" max="12" width="38" style="11" customWidth="1"/>
    <col min="13" max="13" width="29.5" style="11" customWidth="1"/>
    <col min="14" max="21" width="10" style="11" customWidth="1"/>
    <col min="22" max="16384" width="12.625" style="11"/>
  </cols>
  <sheetData>
    <row r="1" spans="1:21" ht="21.75" customHeight="1" thickTop="1" thickBot="1" x14ac:dyDescent="0.25">
      <c r="A1" s="93"/>
      <c r="B1" s="93"/>
      <c r="C1" s="93"/>
      <c r="D1" s="93"/>
      <c r="E1" s="93"/>
      <c r="F1" s="93"/>
      <c r="G1" s="93"/>
      <c r="H1" s="49" t="s">
        <v>39</v>
      </c>
      <c r="I1" s="95" t="s">
        <v>40</v>
      </c>
      <c r="J1" s="95"/>
      <c r="K1" s="95"/>
      <c r="L1" s="95"/>
      <c r="M1" s="95"/>
      <c r="N1" s="10"/>
      <c r="O1" s="10"/>
      <c r="P1" s="10"/>
      <c r="Q1" s="10"/>
      <c r="R1" s="10"/>
      <c r="S1" s="10"/>
      <c r="T1" s="10"/>
      <c r="U1" s="10"/>
    </row>
    <row r="2" spans="1:21" ht="22.5" customHeight="1" thickTop="1" thickBot="1" x14ac:dyDescent="0.25">
      <c r="A2" s="93"/>
      <c r="B2" s="93"/>
      <c r="C2" s="93"/>
      <c r="D2" s="93"/>
      <c r="E2" s="93"/>
      <c r="F2" s="93"/>
      <c r="G2" s="93"/>
      <c r="H2" s="50" t="s">
        <v>41</v>
      </c>
      <c r="I2" s="95" t="s">
        <v>42</v>
      </c>
      <c r="J2" s="95"/>
      <c r="K2" s="95"/>
      <c r="L2" s="95"/>
      <c r="M2" s="95"/>
    </row>
    <row r="3" spans="1:21" ht="22.5" customHeight="1" thickTop="1" thickBot="1" x14ac:dyDescent="0.25">
      <c r="A3" s="93"/>
      <c r="B3" s="93"/>
      <c r="C3" s="93"/>
      <c r="D3" s="93"/>
      <c r="E3" s="93"/>
      <c r="F3" s="93"/>
      <c r="G3" s="93"/>
      <c r="H3" s="27" t="s">
        <v>101</v>
      </c>
      <c r="I3" s="95" t="s">
        <v>43</v>
      </c>
      <c r="J3" s="95"/>
      <c r="K3" s="95"/>
      <c r="L3" s="95"/>
      <c r="M3" s="95"/>
    </row>
    <row r="4" spans="1:21" ht="22.5" customHeight="1" thickTop="1" thickBot="1" x14ac:dyDescent="0.25">
      <c r="A4" s="93"/>
      <c r="B4" s="93"/>
      <c r="C4" s="93"/>
      <c r="D4" s="93"/>
      <c r="E4" s="93"/>
      <c r="F4" s="93"/>
      <c r="G4" s="93"/>
      <c r="H4" s="27" t="s">
        <v>44</v>
      </c>
      <c r="I4" s="95" t="s">
        <v>45</v>
      </c>
      <c r="J4" s="95"/>
      <c r="K4" s="95"/>
      <c r="L4" s="95"/>
      <c r="M4" s="95"/>
    </row>
    <row r="5" spans="1:21" ht="27.75" customHeight="1" x14ac:dyDescent="0.2">
      <c r="A5" s="93"/>
      <c r="B5" s="93"/>
      <c r="C5" s="93"/>
      <c r="D5" s="93"/>
      <c r="E5" s="93"/>
      <c r="F5" s="93"/>
      <c r="G5" s="93"/>
      <c r="H5" s="27" t="s">
        <v>46</v>
      </c>
      <c r="I5" s="95" t="s">
        <v>47</v>
      </c>
      <c r="J5" s="95"/>
      <c r="K5" s="95"/>
      <c r="L5" s="95"/>
      <c r="M5" s="95"/>
    </row>
    <row r="6" spans="1:21" ht="27.75" customHeight="1" thickTop="1" thickBot="1" x14ac:dyDescent="0.25">
      <c r="A6" s="93"/>
      <c r="B6" s="93"/>
      <c r="C6" s="93"/>
      <c r="D6" s="93"/>
      <c r="E6" s="93"/>
      <c r="F6" s="93"/>
      <c r="G6" s="93"/>
      <c r="H6" s="28" t="s">
        <v>48</v>
      </c>
      <c r="I6" s="94" t="s">
        <v>49</v>
      </c>
      <c r="J6" s="94"/>
      <c r="K6" s="94"/>
      <c r="L6" s="94"/>
      <c r="M6" s="94"/>
    </row>
    <row r="7" spans="1:21" ht="27" customHeight="1" thickTop="1" thickBot="1" x14ac:dyDescent="0.25">
      <c r="A7" s="93"/>
      <c r="B7" s="93"/>
      <c r="C7" s="93"/>
      <c r="D7" s="93"/>
      <c r="E7" s="93"/>
      <c r="F7" s="93"/>
      <c r="G7" s="93"/>
      <c r="H7" s="28" t="s">
        <v>50</v>
      </c>
      <c r="I7" s="94" t="s">
        <v>51</v>
      </c>
      <c r="J7" s="94"/>
      <c r="K7" s="94"/>
      <c r="L7" s="94"/>
      <c r="M7" s="94"/>
    </row>
    <row r="8" spans="1:21" ht="27" customHeight="1" thickTop="1" thickBot="1" x14ac:dyDescent="0.25">
      <c r="A8" s="93"/>
      <c r="B8" s="93"/>
      <c r="C8" s="93"/>
      <c r="D8" s="93"/>
      <c r="E8" s="93"/>
      <c r="F8" s="93"/>
      <c r="G8" s="93"/>
      <c r="H8" s="28" t="s">
        <v>52</v>
      </c>
      <c r="I8" s="94" t="s">
        <v>53</v>
      </c>
      <c r="J8" s="94"/>
      <c r="K8" s="94"/>
      <c r="L8" s="94"/>
      <c r="M8" s="94"/>
    </row>
    <row r="9" spans="1:21" ht="23.25" customHeight="1" thickTop="1" thickBot="1" x14ac:dyDescent="0.25">
      <c r="A9" s="93"/>
      <c r="B9" s="93"/>
      <c r="C9" s="93"/>
      <c r="D9" s="93"/>
      <c r="E9" s="93"/>
      <c r="F9" s="93"/>
      <c r="G9" s="93"/>
      <c r="H9" s="28" t="s">
        <v>54</v>
      </c>
      <c r="I9" s="96" t="s">
        <v>55</v>
      </c>
      <c r="J9" s="97"/>
      <c r="K9" s="97"/>
      <c r="L9" s="97"/>
      <c r="M9" s="98"/>
    </row>
    <row r="10" spans="1:21" s="83" customFormat="1" ht="20.25" customHeight="1" thickTop="1" thickBot="1" x14ac:dyDescent="0.25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</row>
    <row r="11" spans="1:21" ht="20.25" customHeight="1" thickTop="1" thickBot="1" x14ac:dyDescent="0.25">
      <c r="A11" s="81" t="s">
        <v>56</v>
      </c>
      <c r="B11" s="81"/>
      <c r="C11" s="81"/>
      <c r="D11" s="81"/>
      <c r="E11" s="81"/>
      <c r="F11" s="81"/>
      <c r="G11" s="81"/>
      <c r="H11" s="88" t="s">
        <v>107</v>
      </c>
      <c r="I11" s="88"/>
      <c r="J11" s="13" t="s">
        <v>1</v>
      </c>
      <c r="K11" s="14"/>
      <c r="L11" s="15"/>
    </row>
    <row r="12" spans="1:21" ht="20.25" customHeight="1" thickTop="1" thickBot="1" x14ac:dyDescent="0.25">
      <c r="A12" s="81"/>
      <c r="B12" s="81"/>
      <c r="C12" s="81"/>
      <c r="D12" s="81"/>
      <c r="E12" s="81"/>
      <c r="F12" s="81"/>
      <c r="G12" s="81"/>
      <c r="H12" s="89" t="s">
        <v>105</v>
      </c>
      <c r="I12" s="89"/>
      <c r="J12" s="13" t="s">
        <v>1</v>
      </c>
      <c r="K12" s="16"/>
      <c r="L12" s="15"/>
    </row>
    <row r="13" spans="1:21" ht="20.25" customHeight="1" thickTop="1" thickBot="1" x14ac:dyDescent="0.25">
      <c r="A13" s="81"/>
      <c r="B13" s="81"/>
      <c r="C13" s="81"/>
      <c r="D13" s="81"/>
      <c r="E13" s="81"/>
      <c r="F13" s="81"/>
      <c r="G13" s="81"/>
      <c r="H13" s="60" t="s">
        <v>57</v>
      </c>
      <c r="I13" s="61"/>
      <c r="J13" s="13" t="s">
        <v>8</v>
      </c>
      <c r="K13" s="16"/>
      <c r="L13" s="15"/>
    </row>
    <row r="14" spans="1:21" ht="20.25" customHeight="1" thickTop="1" thickBot="1" x14ac:dyDescent="0.25">
      <c r="A14" s="81"/>
      <c r="B14" s="81"/>
      <c r="C14" s="81"/>
      <c r="D14" s="81"/>
      <c r="E14" s="81"/>
      <c r="F14" s="81"/>
      <c r="G14" s="81"/>
      <c r="H14" s="60" t="s">
        <v>58</v>
      </c>
      <c r="I14" s="61"/>
      <c r="J14" s="13" t="s">
        <v>8</v>
      </c>
      <c r="K14" s="16"/>
      <c r="L14" s="15"/>
    </row>
    <row r="15" spans="1:21" ht="20.25" customHeight="1" thickTop="1" thickBot="1" x14ac:dyDescent="0.25">
      <c r="A15" s="81"/>
      <c r="B15" s="81"/>
      <c r="C15" s="81"/>
      <c r="D15" s="81"/>
      <c r="E15" s="81"/>
      <c r="F15" s="81"/>
      <c r="G15" s="81"/>
      <c r="H15" s="60" t="s">
        <v>106</v>
      </c>
      <c r="I15" s="61"/>
      <c r="J15" s="13" t="s">
        <v>8</v>
      </c>
      <c r="K15" s="16"/>
      <c r="L15" s="15"/>
    </row>
    <row r="16" spans="1:21" s="84" customFormat="1" ht="20.25" customHeight="1" thickTop="1" thickBot="1" x14ac:dyDescent="0.25"/>
    <row r="17" spans="1:13" s="12" customFormat="1" ht="16.5" thickBot="1" x14ac:dyDescent="0.25">
      <c r="A17" s="90" t="s">
        <v>59</v>
      </c>
      <c r="B17" s="91"/>
      <c r="C17" s="91"/>
      <c r="D17" s="91"/>
      <c r="E17" s="91"/>
      <c r="F17" s="91"/>
      <c r="G17" s="91"/>
      <c r="H17" s="92"/>
      <c r="I17" s="47"/>
      <c r="J17" s="85" t="s">
        <v>60</v>
      </c>
      <c r="K17" s="86"/>
      <c r="L17" s="86"/>
      <c r="M17" s="87"/>
    </row>
    <row r="18" spans="1:13" s="10" customFormat="1" ht="24" customHeight="1" thickTop="1" thickBot="1" x14ac:dyDescent="0.3">
      <c r="A18" s="41"/>
      <c r="B18" s="42"/>
      <c r="C18" s="62" t="s">
        <v>61</v>
      </c>
      <c r="D18" s="62"/>
      <c r="E18" s="62"/>
      <c r="F18" s="69"/>
      <c r="G18" s="29" t="s">
        <v>62</v>
      </c>
      <c r="H18" s="30" t="s">
        <v>63</v>
      </c>
      <c r="I18" s="68"/>
      <c r="J18" s="31" t="s">
        <v>64</v>
      </c>
      <c r="K18" s="32" t="s">
        <v>65</v>
      </c>
      <c r="L18" s="33" t="s">
        <v>62</v>
      </c>
      <c r="M18" s="34" t="s">
        <v>63</v>
      </c>
    </row>
    <row r="19" spans="1:13" ht="30.95" customHeight="1" thickTop="1" thickBot="1" x14ac:dyDescent="0.25">
      <c r="A19" s="72">
        <v>1</v>
      </c>
      <c r="B19" s="42"/>
      <c r="C19" s="63" t="s">
        <v>66</v>
      </c>
      <c r="D19" s="63"/>
      <c r="E19" s="63"/>
      <c r="F19" s="69"/>
      <c r="G19" s="17" t="s">
        <v>0</v>
      </c>
      <c r="H19" s="18" t="s">
        <v>10</v>
      </c>
      <c r="I19" s="68"/>
      <c r="J19" s="35" t="s">
        <v>67</v>
      </c>
      <c r="K19" s="19" t="s">
        <v>102</v>
      </c>
      <c r="L19" s="20" t="s">
        <v>0</v>
      </c>
      <c r="M19" s="18" t="s">
        <v>10</v>
      </c>
    </row>
    <row r="20" spans="1:13" ht="30.95" customHeight="1" thickTop="1" thickBot="1" x14ac:dyDescent="0.25">
      <c r="A20" s="72"/>
      <c r="B20" s="42"/>
      <c r="C20" s="63"/>
      <c r="D20" s="63"/>
      <c r="E20" s="63"/>
      <c r="F20" s="69"/>
      <c r="G20" s="17" t="s">
        <v>0</v>
      </c>
      <c r="H20" s="18" t="s">
        <v>10</v>
      </c>
      <c r="I20" s="68"/>
      <c r="J20" s="35" t="s">
        <v>69</v>
      </c>
      <c r="K20" s="19" t="s">
        <v>68</v>
      </c>
      <c r="L20" s="20" t="s">
        <v>0</v>
      </c>
      <c r="M20" s="18" t="s">
        <v>10</v>
      </c>
    </row>
    <row r="21" spans="1:13" ht="30.95" customHeight="1" thickTop="1" thickBot="1" x14ac:dyDescent="0.25">
      <c r="A21" s="72"/>
      <c r="B21" s="42"/>
      <c r="C21" s="63"/>
      <c r="D21" s="63"/>
      <c r="E21" s="63"/>
      <c r="F21" s="69"/>
      <c r="G21" s="17" t="s">
        <v>0</v>
      </c>
      <c r="H21" s="18" t="s">
        <v>10</v>
      </c>
      <c r="I21" s="68"/>
      <c r="J21" s="35" t="s">
        <v>70</v>
      </c>
      <c r="K21" s="19" t="s">
        <v>68</v>
      </c>
      <c r="L21" s="20" t="s">
        <v>0</v>
      </c>
      <c r="M21" s="18" t="s">
        <v>10</v>
      </c>
    </row>
    <row r="22" spans="1:13" ht="30.95" customHeight="1" thickTop="1" thickBot="1" x14ac:dyDescent="0.25">
      <c r="A22" s="72"/>
      <c r="B22" s="42"/>
      <c r="C22" s="63"/>
      <c r="D22" s="63"/>
      <c r="E22" s="63"/>
      <c r="F22" s="69"/>
      <c r="G22" s="17" t="s">
        <v>0</v>
      </c>
      <c r="H22" s="18" t="s">
        <v>10</v>
      </c>
      <c r="I22" s="68"/>
      <c r="J22" s="35" t="s">
        <v>88</v>
      </c>
      <c r="K22" s="19" t="s">
        <v>68</v>
      </c>
      <c r="L22" s="20" t="s">
        <v>0</v>
      </c>
      <c r="M22" s="18" t="s">
        <v>10</v>
      </c>
    </row>
    <row r="23" spans="1:13" ht="30.95" customHeight="1" thickTop="1" thickBot="1" x14ac:dyDescent="0.25">
      <c r="A23" s="72"/>
      <c r="B23" s="42"/>
      <c r="C23" s="63"/>
      <c r="D23" s="63"/>
      <c r="E23" s="63"/>
      <c r="F23" s="69"/>
      <c r="G23" s="17" t="s">
        <v>0</v>
      </c>
      <c r="H23" s="18" t="s">
        <v>10</v>
      </c>
      <c r="I23" s="68"/>
      <c r="J23" s="35" t="s">
        <v>89</v>
      </c>
      <c r="K23" s="19" t="s">
        <v>68</v>
      </c>
      <c r="L23" s="20" t="s">
        <v>0</v>
      </c>
      <c r="M23" s="18" t="s">
        <v>10</v>
      </c>
    </row>
    <row r="24" spans="1:13" s="45" customFormat="1" ht="14.25" customHeight="1" thickTop="1" thickBot="1" x14ac:dyDescent="0.25">
      <c r="A24" s="57"/>
      <c r="B24" s="58"/>
      <c r="C24" s="58"/>
      <c r="D24" s="58"/>
      <c r="E24" s="58"/>
      <c r="F24" s="58"/>
      <c r="G24" s="58"/>
      <c r="H24" s="59"/>
      <c r="I24" s="48"/>
      <c r="J24" s="54"/>
      <c r="K24" s="55"/>
      <c r="L24" s="55"/>
      <c r="M24" s="56"/>
    </row>
    <row r="25" spans="1:13" s="10" customFormat="1" ht="22.5" customHeight="1" thickTop="1" thickBot="1" x14ac:dyDescent="0.3">
      <c r="A25" s="41"/>
      <c r="B25" s="42"/>
      <c r="C25" s="62" t="s">
        <v>61</v>
      </c>
      <c r="D25" s="62"/>
      <c r="E25" s="62"/>
      <c r="F25" s="69"/>
      <c r="G25" s="29" t="s">
        <v>62</v>
      </c>
      <c r="H25" s="30" t="s">
        <v>63</v>
      </c>
      <c r="I25" s="68"/>
      <c r="J25" s="36" t="s">
        <v>64</v>
      </c>
      <c r="K25" s="37" t="s">
        <v>65</v>
      </c>
      <c r="L25" s="38" t="s">
        <v>62</v>
      </c>
      <c r="M25" s="39" t="s">
        <v>63</v>
      </c>
    </row>
    <row r="26" spans="1:13" ht="30" customHeight="1" x14ac:dyDescent="0.2">
      <c r="A26" s="72">
        <v>2</v>
      </c>
      <c r="B26" s="42"/>
      <c r="C26" s="63" t="s">
        <v>66</v>
      </c>
      <c r="D26" s="63"/>
      <c r="E26" s="63"/>
      <c r="F26" s="69"/>
      <c r="G26" s="17" t="s">
        <v>0</v>
      </c>
      <c r="H26" s="18" t="s">
        <v>10</v>
      </c>
      <c r="I26" s="68"/>
      <c r="J26" s="35" t="s">
        <v>71</v>
      </c>
      <c r="K26" s="19" t="s">
        <v>68</v>
      </c>
      <c r="L26" s="20" t="s">
        <v>0</v>
      </c>
      <c r="M26" s="18" t="s">
        <v>10</v>
      </c>
    </row>
    <row r="27" spans="1:13" ht="30" customHeight="1" thickTop="1" thickBot="1" x14ac:dyDescent="0.25">
      <c r="A27" s="72"/>
      <c r="B27" s="42"/>
      <c r="C27" s="63"/>
      <c r="D27" s="63"/>
      <c r="E27" s="63"/>
      <c r="F27" s="69"/>
      <c r="G27" s="17" t="s">
        <v>0</v>
      </c>
      <c r="H27" s="18" t="s">
        <v>10</v>
      </c>
      <c r="I27" s="68"/>
      <c r="J27" s="35" t="s">
        <v>72</v>
      </c>
      <c r="K27" s="19" t="s">
        <v>68</v>
      </c>
      <c r="L27" s="20" t="s">
        <v>0</v>
      </c>
      <c r="M27" s="18" t="s">
        <v>10</v>
      </c>
    </row>
    <row r="28" spans="1:13" ht="30" customHeight="1" thickTop="1" thickBot="1" x14ac:dyDescent="0.25">
      <c r="A28" s="72"/>
      <c r="B28" s="42"/>
      <c r="C28" s="63"/>
      <c r="D28" s="63"/>
      <c r="E28" s="63"/>
      <c r="F28" s="69"/>
      <c r="G28" s="17" t="s">
        <v>0</v>
      </c>
      <c r="H28" s="18" t="s">
        <v>10</v>
      </c>
      <c r="I28" s="68"/>
      <c r="J28" s="35" t="s">
        <v>73</v>
      </c>
      <c r="K28" s="19" t="s">
        <v>68</v>
      </c>
      <c r="L28" s="20" t="s">
        <v>0</v>
      </c>
      <c r="M28" s="18" t="s">
        <v>10</v>
      </c>
    </row>
    <row r="29" spans="1:13" ht="30" customHeight="1" thickTop="1" thickBot="1" x14ac:dyDescent="0.25">
      <c r="A29" s="72"/>
      <c r="B29" s="42"/>
      <c r="C29" s="63"/>
      <c r="D29" s="63"/>
      <c r="E29" s="63"/>
      <c r="F29" s="69"/>
      <c r="G29" s="17" t="s">
        <v>0</v>
      </c>
      <c r="H29" s="18" t="s">
        <v>10</v>
      </c>
      <c r="I29" s="68"/>
      <c r="J29" s="35" t="s">
        <v>90</v>
      </c>
      <c r="K29" s="19" t="s">
        <v>68</v>
      </c>
      <c r="L29" s="20" t="s">
        <v>0</v>
      </c>
      <c r="M29" s="18" t="s">
        <v>10</v>
      </c>
    </row>
    <row r="30" spans="1:13" ht="30" customHeight="1" thickTop="1" thickBot="1" x14ac:dyDescent="0.25">
      <c r="A30" s="72"/>
      <c r="B30" s="42"/>
      <c r="C30" s="63"/>
      <c r="D30" s="63"/>
      <c r="E30" s="63"/>
      <c r="F30" s="69"/>
      <c r="G30" s="17" t="s">
        <v>0</v>
      </c>
      <c r="H30" s="18" t="s">
        <v>10</v>
      </c>
      <c r="I30" s="68"/>
      <c r="J30" s="35" t="s">
        <v>91</v>
      </c>
      <c r="K30" s="19" t="s">
        <v>68</v>
      </c>
      <c r="L30" s="20" t="s">
        <v>0</v>
      </c>
      <c r="M30" s="18" t="s">
        <v>10</v>
      </c>
    </row>
    <row r="31" spans="1:13" s="45" customFormat="1" ht="14.25" customHeight="1" thickTop="1" thickBot="1" x14ac:dyDescent="0.25">
      <c r="A31" s="57"/>
      <c r="B31" s="58"/>
      <c r="C31" s="58"/>
      <c r="D31" s="58"/>
      <c r="E31" s="58"/>
      <c r="F31" s="58"/>
      <c r="G31" s="58"/>
      <c r="H31" s="59"/>
      <c r="I31" s="48"/>
      <c r="J31" s="54"/>
      <c r="K31" s="55"/>
      <c r="L31" s="55"/>
      <c r="M31" s="56"/>
    </row>
    <row r="32" spans="1:13" ht="20.25" customHeight="1" thickTop="1" thickBot="1" x14ac:dyDescent="0.3">
      <c r="A32" s="41"/>
      <c r="B32" s="69"/>
      <c r="C32" s="62" t="s">
        <v>61</v>
      </c>
      <c r="D32" s="62"/>
      <c r="E32" s="62"/>
      <c r="F32" s="69"/>
      <c r="G32" s="29" t="s">
        <v>62</v>
      </c>
      <c r="H32" s="30" t="s">
        <v>63</v>
      </c>
      <c r="I32" s="68"/>
      <c r="J32" s="36" t="s">
        <v>64</v>
      </c>
      <c r="K32" s="37" t="s">
        <v>65</v>
      </c>
      <c r="L32" s="38" t="s">
        <v>62</v>
      </c>
      <c r="M32" s="39" t="s">
        <v>63</v>
      </c>
    </row>
    <row r="33" spans="1:13" ht="30" customHeight="1" thickTop="1" thickBot="1" x14ac:dyDescent="0.25">
      <c r="A33" s="72">
        <v>3</v>
      </c>
      <c r="B33" s="69"/>
      <c r="C33" s="63" t="s">
        <v>66</v>
      </c>
      <c r="D33" s="63"/>
      <c r="E33" s="63"/>
      <c r="F33" s="69"/>
      <c r="G33" s="17" t="s">
        <v>0</v>
      </c>
      <c r="H33" s="18" t="s">
        <v>10</v>
      </c>
      <c r="I33" s="68"/>
      <c r="J33" s="35" t="s">
        <v>74</v>
      </c>
      <c r="K33" s="19" t="s">
        <v>68</v>
      </c>
      <c r="L33" s="20" t="s">
        <v>0</v>
      </c>
      <c r="M33" s="18" t="s">
        <v>10</v>
      </c>
    </row>
    <row r="34" spans="1:13" ht="30" customHeight="1" thickTop="1" thickBot="1" x14ac:dyDescent="0.25">
      <c r="A34" s="72"/>
      <c r="B34" s="69"/>
      <c r="C34" s="63"/>
      <c r="D34" s="63"/>
      <c r="E34" s="63"/>
      <c r="F34" s="69"/>
      <c r="G34" s="17" t="s">
        <v>0</v>
      </c>
      <c r="H34" s="18" t="s">
        <v>10</v>
      </c>
      <c r="I34" s="68"/>
      <c r="J34" s="35" t="s">
        <v>75</v>
      </c>
      <c r="K34" s="19" t="s">
        <v>68</v>
      </c>
      <c r="L34" s="20" t="s">
        <v>0</v>
      </c>
      <c r="M34" s="18" t="s">
        <v>10</v>
      </c>
    </row>
    <row r="35" spans="1:13" ht="30" customHeight="1" thickTop="1" thickBot="1" x14ac:dyDescent="0.25">
      <c r="A35" s="72"/>
      <c r="B35" s="69"/>
      <c r="C35" s="63"/>
      <c r="D35" s="63"/>
      <c r="E35" s="63"/>
      <c r="F35" s="69"/>
      <c r="G35" s="17" t="s">
        <v>0</v>
      </c>
      <c r="H35" s="18" t="s">
        <v>10</v>
      </c>
      <c r="I35" s="68"/>
      <c r="J35" s="35" t="s">
        <v>76</v>
      </c>
      <c r="K35" s="19" t="s">
        <v>68</v>
      </c>
      <c r="L35" s="20" t="s">
        <v>0</v>
      </c>
      <c r="M35" s="18" t="s">
        <v>10</v>
      </c>
    </row>
    <row r="36" spans="1:13" ht="30" customHeight="1" thickTop="1" thickBot="1" x14ac:dyDescent="0.25">
      <c r="A36" s="72"/>
      <c r="B36" s="69"/>
      <c r="C36" s="63"/>
      <c r="D36" s="63"/>
      <c r="E36" s="63"/>
      <c r="F36" s="69"/>
      <c r="G36" s="17" t="s">
        <v>0</v>
      </c>
      <c r="H36" s="18" t="s">
        <v>10</v>
      </c>
      <c r="I36" s="68"/>
      <c r="J36" s="35" t="s">
        <v>92</v>
      </c>
      <c r="K36" s="19" t="s">
        <v>68</v>
      </c>
      <c r="L36" s="20" t="s">
        <v>0</v>
      </c>
      <c r="M36" s="18" t="s">
        <v>10</v>
      </c>
    </row>
    <row r="37" spans="1:13" ht="30" customHeight="1" thickTop="1" thickBot="1" x14ac:dyDescent="0.25">
      <c r="A37" s="72"/>
      <c r="B37" s="69"/>
      <c r="C37" s="63"/>
      <c r="D37" s="63"/>
      <c r="E37" s="63"/>
      <c r="F37" s="69"/>
      <c r="G37" s="17" t="s">
        <v>0</v>
      </c>
      <c r="H37" s="18" t="s">
        <v>10</v>
      </c>
      <c r="I37" s="68"/>
      <c r="J37" s="35" t="s">
        <v>93</v>
      </c>
      <c r="K37" s="19" t="s">
        <v>68</v>
      </c>
      <c r="L37" s="20" t="s">
        <v>0</v>
      </c>
      <c r="M37" s="18" t="s">
        <v>10</v>
      </c>
    </row>
    <row r="38" spans="1:13" s="45" customFormat="1" ht="14.25" customHeight="1" thickTop="1" thickBot="1" x14ac:dyDescent="0.25">
      <c r="A38" s="57"/>
      <c r="B38" s="58"/>
      <c r="C38" s="58"/>
      <c r="D38" s="58"/>
      <c r="E38" s="58"/>
      <c r="F38" s="58"/>
      <c r="G38" s="58"/>
      <c r="H38" s="59"/>
      <c r="I38" s="48"/>
      <c r="J38" s="54"/>
      <c r="K38" s="55"/>
      <c r="L38" s="55"/>
      <c r="M38" s="56"/>
    </row>
    <row r="39" spans="1:13" ht="18.75" customHeight="1" thickTop="1" thickBot="1" x14ac:dyDescent="0.3">
      <c r="A39" s="41"/>
      <c r="B39" s="69"/>
      <c r="C39" s="62" t="s">
        <v>61</v>
      </c>
      <c r="D39" s="62"/>
      <c r="E39" s="62"/>
      <c r="F39" s="69"/>
      <c r="G39" s="29" t="s">
        <v>62</v>
      </c>
      <c r="H39" s="30" t="s">
        <v>63</v>
      </c>
      <c r="I39" s="68"/>
      <c r="J39" s="36" t="s">
        <v>64</v>
      </c>
      <c r="K39" s="37" t="s">
        <v>65</v>
      </c>
      <c r="L39" s="38" t="s">
        <v>62</v>
      </c>
      <c r="M39" s="39" t="s">
        <v>63</v>
      </c>
    </row>
    <row r="40" spans="1:13" ht="30" customHeight="1" thickTop="1" thickBot="1" x14ac:dyDescent="0.25">
      <c r="A40" s="72">
        <v>4</v>
      </c>
      <c r="B40" s="69"/>
      <c r="C40" s="63" t="s">
        <v>66</v>
      </c>
      <c r="D40" s="63"/>
      <c r="E40" s="63"/>
      <c r="F40" s="69"/>
      <c r="G40" s="17" t="s">
        <v>0</v>
      </c>
      <c r="H40" s="18" t="s">
        <v>10</v>
      </c>
      <c r="I40" s="68"/>
      <c r="J40" s="35" t="s">
        <v>77</v>
      </c>
      <c r="K40" s="19" t="s">
        <v>68</v>
      </c>
      <c r="L40" s="20" t="s">
        <v>0</v>
      </c>
      <c r="M40" s="18" t="s">
        <v>10</v>
      </c>
    </row>
    <row r="41" spans="1:13" ht="30" customHeight="1" thickTop="1" thickBot="1" x14ac:dyDescent="0.25">
      <c r="A41" s="72"/>
      <c r="B41" s="69"/>
      <c r="C41" s="63"/>
      <c r="D41" s="63"/>
      <c r="E41" s="63"/>
      <c r="F41" s="69"/>
      <c r="G41" s="17" t="s">
        <v>0</v>
      </c>
      <c r="H41" s="18" t="s">
        <v>10</v>
      </c>
      <c r="I41" s="68"/>
      <c r="J41" s="35" t="s">
        <v>78</v>
      </c>
      <c r="K41" s="19" t="s">
        <v>68</v>
      </c>
      <c r="L41" s="20" t="s">
        <v>0</v>
      </c>
      <c r="M41" s="18" t="s">
        <v>10</v>
      </c>
    </row>
    <row r="42" spans="1:13" ht="30" customHeight="1" thickTop="1" thickBot="1" x14ac:dyDescent="0.25">
      <c r="A42" s="73"/>
      <c r="B42" s="70"/>
      <c r="C42" s="75"/>
      <c r="D42" s="75"/>
      <c r="E42" s="75"/>
      <c r="F42" s="70"/>
      <c r="G42" s="17" t="s">
        <v>0</v>
      </c>
      <c r="H42" s="52" t="s">
        <v>10</v>
      </c>
      <c r="I42" s="68"/>
      <c r="J42" s="53" t="s">
        <v>79</v>
      </c>
      <c r="K42" s="19" t="s">
        <v>68</v>
      </c>
      <c r="L42" s="20" t="s">
        <v>0</v>
      </c>
      <c r="M42" s="52" t="s">
        <v>10</v>
      </c>
    </row>
    <row r="43" spans="1:13" ht="30" customHeight="1" thickTop="1" thickBot="1" x14ac:dyDescent="0.25">
      <c r="A43" s="73"/>
      <c r="B43" s="70"/>
      <c r="C43" s="75"/>
      <c r="D43" s="75"/>
      <c r="E43" s="75"/>
      <c r="F43" s="70"/>
      <c r="G43" s="17" t="s">
        <v>0</v>
      </c>
      <c r="H43" s="52" t="s">
        <v>10</v>
      </c>
      <c r="I43" s="68"/>
      <c r="J43" s="53" t="s">
        <v>94</v>
      </c>
      <c r="K43" s="19" t="s">
        <v>68</v>
      </c>
      <c r="L43" s="20" t="s">
        <v>0</v>
      </c>
      <c r="M43" s="52" t="s">
        <v>10</v>
      </c>
    </row>
    <row r="44" spans="1:13" ht="30" customHeight="1" thickTop="1" thickBot="1" x14ac:dyDescent="0.25">
      <c r="A44" s="74"/>
      <c r="B44" s="71"/>
      <c r="C44" s="76"/>
      <c r="D44" s="76"/>
      <c r="E44" s="76"/>
      <c r="F44" s="71"/>
      <c r="G44" s="17" t="s">
        <v>0</v>
      </c>
      <c r="H44" s="21" t="s">
        <v>10</v>
      </c>
      <c r="I44" s="68"/>
      <c r="J44" s="40" t="s">
        <v>95</v>
      </c>
      <c r="K44" s="22" t="s">
        <v>68</v>
      </c>
      <c r="L44" s="23" t="s">
        <v>0</v>
      </c>
      <c r="M44" s="21" t="s">
        <v>10</v>
      </c>
    </row>
    <row r="45" spans="1:13" s="45" customFormat="1" ht="14.25" customHeight="1" thickTop="1" thickBot="1" x14ac:dyDescent="0.25">
      <c r="A45" s="57"/>
      <c r="B45" s="58"/>
      <c r="C45" s="58"/>
      <c r="D45" s="58"/>
      <c r="E45" s="58"/>
      <c r="F45" s="58"/>
      <c r="G45" s="58"/>
      <c r="H45" s="59"/>
      <c r="I45" s="48"/>
      <c r="J45" s="54"/>
      <c r="K45" s="55"/>
      <c r="L45" s="55"/>
      <c r="M45" s="56"/>
    </row>
    <row r="46" spans="1:13" ht="18.75" customHeight="1" thickTop="1" thickBot="1" x14ac:dyDescent="0.3">
      <c r="A46" s="41"/>
      <c r="B46" s="69"/>
      <c r="C46" s="62" t="s">
        <v>61</v>
      </c>
      <c r="D46" s="62"/>
      <c r="E46" s="62"/>
      <c r="F46" s="69"/>
      <c r="G46" s="29" t="s">
        <v>62</v>
      </c>
      <c r="H46" s="30" t="s">
        <v>63</v>
      </c>
      <c r="I46" s="68"/>
      <c r="J46" s="36" t="s">
        <v>64</v>
      </c>
      <c r="K46" s="37" t="s">
        <v>65</v>
      </c>
      <c r="L46" s="38" t="s">
        <v>62</v>
      </c>
      <c r="M46" s="39" t="s">
        <v>63</v>
      </c>
    </row>
    <row r="47" spans="1:13" ht="30" customHeight="1" thickTop="1" thickBot="1" x14ac:dyDescent="0.25">
      <c r="A47" s="72">
        <v>5</v>
      </c>
      <c r="B47" s="69"/>
      <c r="C47" s="63" t="s">
        <v>66</v>
      </c>
      <c r="D47" s="63"/>
      <c r="E47" s="63"/>
      <c r="F47" s="69"/>
      <c r="G47" s="17" t="s">
        <v>0</v>
      </c>
      <c r="H47" s="18" t="s">
        <v>10</v>
      </c>
      <c r="I47" s="68"/>
      <c r="J47" s="35" t="s">
        <v>96</v>
      </c>
      <c r="K47" s="19" t="s">
        <v>68</v>
      </c>
      <c r="L47" s="20" t="s">
        <v>0</v>
      </c>
      <c r="M47" s="18" t="s">
        <v>10</v>
      </c>
    </row>
    <row r="48" spans="1:13" ht="30" customHeight="1" thickTop="1" thickBot="1" x14ac:dyDescent="0.25">
      <c r="A48" s="72"/>
      <c r="B48" s="69"/>
      <c r="C48" s="63"/>
      <c r="D48" s="63"/>
      <c r="E48" s="63"/>
      <c r="F48" s="69"/>
      <c r="G48" s="17" t="s">
        <v>0</v>
      </c>
      <c r="H48" s="18" t="s">
        <v>10</v>
      </c>
      <c r="I48" s="68"/>
      <c r="J48" s="35" t="s">
        <v>97</v>
      </c>
      <c r="K48" s="19" t="s">
        <v>68</v>
      </c>
      <c r="L48" s="20" t="s">
        <v>0</v>
      </c>
      <c r="M48" s="18" t="s">
        <v>10</v>
      </c>
    </row>
    <row r="49" spans="1:23" ht="30" customHeight="1" thickTop="1" thickBot="1" x14ac:dyDescent="0.25">
      <c r="A49" s="73"/>
      <c r="B49" s="70"/>
      <c r="C49" s="75"/>
      <c r="D49" s="75"/>
      <c r="E49" s="75"/>
      <c r="F49" s="70"/>
      <c r="G49" s="17" t="s">
        <v>0</v>
      </c>
      <c r="H49" s="52" t="s">
        <v>10</v>
      </c>
      <c r="I49" s="68"/>
      <c r="J49" s="53" t="s">
        <v>98</v>
      </c>
      <c r="K49" s="19" t="s">
        <v>68</v>
      </c>
      <c r="L49" s="20" t="s">
        <v>0</v>
      </c>
      <c r="M49" s="52" t="s">
        <v>10</v>
      </c>
    </row>
    <row r="50" spans="1:23" ht="30" customHeight="1" thickTop="1" thickBot="1" x14ac:dyDescent="0.25">
      <c r="A50" s="73"/>
      <c r="B50" s="70"/>
      <c r="C50" s="75"/>
      <c r="D50" s="75"/>
      <c r="E50" s="75"/>
      <c r="F50" s="70"/>
      <c r="G50" s="17" t="s">
        <v>0</v>
      </c>
      <c r="H50" s="52" t="s">
        <v>10</v>
      </c>
      <c r="I50" s="68"/>
      <c r="J50" s="53" t="s">
        <v>99</v>
      </c>
      <c r="K50" s="19" t="s">
        <v>68</v>
      </c>
      <c r="L50" s="20" t="s">
        <v>0</v>
      </c>
      <c r="M50" s="52" t="s">
        <v>10</v>
      </c>
    </row>
    <row r="51" spans="1:23" ht="30" customHeight="1" thickTop="1" thickBot="1" x14ac:dyDescent="0.25">
      <c r="A51" s="74"/>
      <c r="B51" s="71"/>
      <c r="C51" s="76"/>
      <c r="D51" s="76"/>
      <c r="E51" s="76"/>
      <c r="F51" s="71"/>
      <c r="G51" s="17" t="s">
        <v>0</v>
      </c>
      <c r="H51" s="21" t="s">
        <v>10</v>
      </c>
      <c r="I51" s="68"/>
      <c r="J51" s="40" t="s">
        <v>100</v>
      </c>
      <c r="K51" s="22" t="s">
        <v>68</v>
      </c>
      <c r="L51" s="23" t="s">
        <v>0</v>
      </c>
      <c r="M51" s="21" t="s">
        <v>10</v>
      </c>
    </row>
    <row r="52" spans="1:23" s="67" customFormat="1" ht="27" customHeight="1" thickBot="1" x14ac:dyDescent="0.2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</row>
    <row r="53" spans="1:23" ht="20.25" customHeight="1" thickTop="1" thickBot="1" x14ac:dyDescent="0.35">
      <c r="A53" s="24"/>
      <c r="B53" s="24"/>
      <c r="C53" s="64" t="s">
        <v>80</v>
      </c>
      <c r="D53" s="65"/>
      <c r="E53" s="65"/>
      <c r="F53" s="65"/>
      <c r="G53" s="66"/>
      <c r="H53" s="43">
        <f>COUNTIF(J11:J15,"Si")</f>
        <v>2</v>
      </c>
    </row>
    <row r="54" spans="1:23" ht="18.75" customHeight="1" thickTop="1" thickBot="1" x14ac:dyDescent="0.35">
      <c r="A54" s="24"/>
      <c r="B54" s="25"/>
      <c r="C54" s="64" t="s">
        <v>81</v>
      </c>
      <c r="D54" s="65"/>
      <c r="E54" s="65"/>
      <c r="F54" s="65"/>
      <c r="G54" s="66"/>
      <c r="H54" s="43">
        <f>SUM(COUNTIF(G:G,"RECURSOS_EDUCATIVOS_DIGITALES"),COUNTIF(L:L,"RECURSOS_EDUCATIVOS_DIGITALES"))</f>
        <v>0</v>
      </c>
    </row>
    <row r="55" spans="1:23" ht="18.75" customHeight="1" thickTop="1" thickBot="1" x14ac:dyDescent="0.35">
      <c r="A55" s="24"/>
      <c r="B55" s="25"/>
      <c r="C55" s="78" t="s">
        <v>82</v>
      </c>
      <c r="D55" s="78"/>
      <c r="E55" s="78"/>
      <c r="F55" s="78"/>
      <c r="G55" s="78"/>
      <c r="H55" s="43">
        <f>SUM(COUNTIF(G:G,"RECURSOS_INTERACTIVOS_DIGITALES"),COUNTIF(L:L,"RECURSOS_INTERACTIVOS_DIGITALES"))</f>
        <v>0</v>
      </c>
    </row>
    <row r="56" spans="1:23" ht="18.75" customHeight="1" x14ac:dyDescent="0.3">
      <c r="A56" s="24"/>
      <c r="B56" s="25"/>
      <c r="C56" s="78" t="s">
        <v>83</v>
      </c>
      <c r="D56" s="78"/>
      <c r="E56" s="78"/>
      <c r="F56" s="78"/>
      <c r="G56" s="78"/>
      <c r="H56" s="43">
        <f>SUM(COUNTIF(G:G,"RECURSOS_EVALUATIVOS"),COUNTIF(L:L,"RECURSOS_EVALUATIVOS"))</f>
        <v>0</v>
      </c>
    </row>
    <row r="57" spans="1:23" ht="18.75" customHeight="1" x14ac:dyDescent="0.3">
      <c r="A57" s="24"/>
      <c r="B57" s="25"/>
      <c r="C57" s="78" t="s">
        <v>84</v>
      </c>
      <c r="D57" s="78"/>
      <c r="E57" s="78"/>
      <c r="F57" s="78"/>
      <c r="G57" s="78"/>
      <c r="H57" s="43">
        <f>SUM(COUNTIF(G:G,"RECURSOS_COLABORATIVOS"),COUNTIF(L:L,"RECURSOS_COLABORATIVOS"))</f>
        <v>0</v>
      </c>
    </row>
    <row r="58" spans="1:23" ht="18.75" customHeight="1" thickTop="1" thickBot="1" x14ac:dyDescent="0.25">
      <c r="A58" s="24"/>
      <c r="B58" s="25"/>
      <c r="C58" s="79" t="s">
        <v>85</v>
      </c>
      <c r="D58" s="79"/>
      <c r="E58" s="79"/>
      <c r="F58" s="80"/>
      <c r="G58" s="80"/>
      <c r="H58" s="44">
        <f>SUM(COUNTIF(G:G,"RECURSOS_EXTERNOS"),COUNTIF(L:L,"RECURSOS_EXTERNOS"))</f>
        <v>0</v>
      </c>
    </row>
    <row r="59" spans="1:23" ht="14.25" customHeight="1" thickTop="1" thickBot="1" x14ac:dyDescent="0.25">
      <c r="C59" s="45"/>
      <c r="D59" s="45"/>
      <c r="E59" s="45"/>
      <c r="F59" s="77" t="s">
        <v>86</v>
      </c>
      <c r="G59" s="77"/>
      <c r="H59" s="46">
        <f>SUM(H53:H58)</f>
        <v>2</v>
      </c>
    </row>
    <row r="60" spans="1:23" ht="14.25" customHeight="1" thickTop="1" x14ac:dyDescent="0.2">
      <c r="I60" s="26"/>
    </row>
    <row r="61" spans="1:23" ht="14.25" customHeight="1" x14ac:dyDescent="0.2">
      <c r="I61" s="26"/>
    </row>
    <row r="62" spans="1:23" ht="14.25" customHeight="1" x14ac:dyDescent="0.2">
      <c r="I62" s="26"/>
    </row>
    <row r="63" spans="1:23" ht="14.25" customHeight="1" x14ac:dyDescent="0.2">
      <c r="I63" s="26"/>
    </row>
    <row r="64" spans="1:23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2" customHeight="1" x14ac:dyDescent="0.2"/>
    <row r="93" ht="12.75" customHeight="1" x14ac:dyDescent="0.2"/>
    <row r="94" ht="32.25" hidden="1" customHeight="1" x14ac:dyDescent="0.2"/>
    <row r="95" ht="30" hidden="1" customHeight="1" x14ac:dyDescent="0.2"/>
    <row r="96" ht="29.25" hidden="1" customHeight="1" x14ac:dyDescent="0.2"/>
    <row r="97" ht="29.25" hidden="1" customHeight="1" x14ac:dyDescent="0.2"/>
    <row r="98" ht="21.75" hidden="1" customHeight="1" x14ac:dyDescent="0.2"/>
    <row r="99" ht="21" hidden="1" customHeight="1" x14ac:dyDescent="0.2"/>
    <row r="100" ht="30" hidden="1" customHeight="1" x14ac:dyDescent="0.2"/>
    <row r="101" ht="27" hidden="1" customHeight="1" x14ac:dyDescent="0.2"/>
    <row r="102" ht="32.25" hidden="1" customHeight="1" x14ac:dyDescent="0.2"/>
    <row r="103" ht="28.5" hidden="1" customHeight="1" x14ac:dyDescent="0.2"/>
    <row r="104" ht="26.25" hidden="1" customHeight="1" x14ac:dyDescent="0.2"/>
    <row r="105" ht="26.25" hidden="1" customHeight="1" x14ac:dyDescent="0.2"/>
    <row r="106" ht="23.25" hidden="1" customHeight="1" x14ac:dyDescent="0.2"/>
    <row r="107" ht="26.25" hidden="1" customHeight="1" x14ac:dyDescent="0.2"/>
    <row r="108" ht="34.5" hidden="1" customHeight="1" x14ac:dyDescent="0.2"/>
    <row r="109" ht="19.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</sheetData>
  <mergeCells count="64">
    <mergeCell ref="A1:G9"/>
    <mergeCell ref="I6:M6"/>
    <mergeCell ref="I3:M3"/>
    <mergeCell ref="I2:M2"/>
    <mergeCell ref="I1:M1"/>
    <mergeCell ref="I4:M4"/>
    <mergeCell ref="I7:M7"/>
    <mergeCell ref="I9:M9"/>
    <mergeCell ref="I5:M5"/>
    <mergeCell ref="I8:M8"/>
    <mergeCell ref="C25:E25"/>
    <mergeCell ref="C26:E30"/>
    <mergeCell ref="A11:G15"/>
    <mergeCell ref="A10:XFD10"/>
    <mergeCell ref="A16:XFD16"/>
    <mergeCell ref="J17:M17"/>
    <mergeCell ref="A19:A23"/>
    <mergeCell ref="A26:A30"/>
    <mergeCell ref="F18:F23"/>
    <mergeCell ref="F25:F30"/>
    <mergeCell ref="I18:I23"/>
    <mergeCell ref="I25:I30"/>
    <mergeCell ref="H11:I11"/>
    <mergeCell ref="H12:I12"/>
    <mergeCell ref="A17:H17"/>
    <mergeCell ref="F59:G59"/>
    <mergeCell ref="C33:E37"/>
    <mergeCell ref="C39:E39"/>
    <mergeCell ref="A40:A44"/>
    <mergeCell ref="C40:E44"/>
    <mergeCell ref="A33:A37"/>
    <mergeCell ref="F32:F37"/>
    <mergeCell ref="F39:F44"/>
    <mergeCell ref="B32:B37"/>
    <mergeCell ref="B39:B44"/>
    <mergeCell ref="C32:E32"/>
    <mergeCell ref="C54:G54"/>
    <mergeCell ref="C55:G55"/>
    <mergeCell ref="C56:G56"/>
    <mergeCell ref="C58:G58"/>
    <mergeCell ref="C57:G57"/>
    <mergeCell ref="J31:M31"/>
    <mergeCell ref="J38:M38"/>
    <mergeCell ref="A38:H38"/>
    <mergeCell ref="A31:H31"/>
    <mergeCell ref="C53:G53"/>
    <mergeCell ref="A52:XFD52"/>
    <mergeCell ref="I32:I37"/>
    <mergeCell ref="I39:I44"/>
    <mergeCell ref="A45:H45"/>
    <mergeCell ref="J45:M45"/>
    <mergeCell ref="B46:B51"/>
    <mergeCell ref="C46:E46"/>
    <mergeCell ref="F46:F51"/>
    <mergeCell ref="I46:I51"/>
    <mergeCell ref="A47:A51"/>
    <mergeCell ref="C47:E51"/>
    <mergeCell ref="J24:M24"/>
    <mergeCell ref="A24:H24"/>
    <mergeCell ref="H13:I13"/>
    <mergeCell ref="H14:I14"/>
    <mergeCell ref="H15:I15"/>
    <mergeCell ref="C18:E18"/>
    <mergeCell ref="C19:E23"/>
  </mergeCells>
  <conditionalFormatting sqref="A18:M51">
    <cfRule type="containsText" dxfId="9" priority="8" operator="containsText" text="SELECCIONE EL RECURSO">
      <formula>NOT(ISERROR(SEARCH("SELECCIONE EL RECURSO",A18)))</formula>
    </cfRule>
    <cfRule type="containsText" dxfId="8" priority="9" operator="containsText" text="SELECCIONE_EL_TIPO_DE_RECURSO">
      <formula>NOT(ISERROR(SEARCH("SELECCIONE_EL_TIPO_DE_RECURSO",A18)))</formula>
    </cfRule>
  </conditionalFormatting>
  <conditionalFormatting sqref="G19:G23">
    <cfRule type="containsText" dxfId="7" priority="10" operator="containsText" text="SELECCIONE_EL_TIPO_DE_RECURSO">
      <formula>NOT(ISERROR(SEARCH("SELECCIONE_EL_TIPO_DE_RECURSO",G19)))</formula>
    </cfRule>
  </conditionalFormatting>
  <conditionalFormatting sqref="G26:G30">
    <cfRule type="containsText" dxfId="6" priority="7" operator="containsText" text="SELECCIONE_EL_TIPO_DE_RECURSO">
      <formula>NOT(ISERROR(SEARCH("SELECCIONE_EL_TIPO_DE_RECURSO",G26)))</formula>
    </cfRule>
  </conditionalFormatting>
  <conditionalFormatting sqref="G33:G37">
    <cfRule type="containsText" dxfId="5" priority="4" operator="containsText" text="SELECCIONE_EL_TIPO_DE_RECURSO">
      <formula>NOT(ISERROR(SEARCH("SELECCIONE_EL_TIPO_DE_RECURSO",G33)))</formula>
    </cfRule>
  </conditionalFormatting>
  <conditionalFormatting sqref="G40:G44 G47:G51">
    <cfRule type="containsText" dxfId="4" priority="1" operator="containsText" text="SELECCIONE_EL_TIPO_DE_RECURSO">
      <formula>NOT(ISERROR(SEARCH("SELECCIONE_EL_TIPO_DE_RECURSO",G40)))</formula>
    </cfRule>
  </conditionalFormatting>
  <conditionalFormatting sqref="H19:H23 H26:H30 H33:H37 H40:H44 H47:H51">
    <cfRule type="containsText" dxfId="3" priority="12" operator="containsText" text="Sin Recurso">
      <formula>NOT(ISERROR(SEARCH("Sin Recurso",H19)))</formula>
    </cfRule>
  </conditionalFormatting>
  <conditionalFormatting sqref="J11:J15">
    <cfRule type="containsText" dxfId="2" priority="13" operator="containsText" text="No">
      <formula>NOT(ISERROR(SEARCH("No",J11)))</formula>
    </cfRule>
    <cfRule type="containsText" dxfId="1" priority="14" operator="containsText" text="Si">
      <formula>NOT(ISERROR(SEARCH("Si",J11)))</formula>
    </cfRule>
  </conditionalFormatting>
  <conditionalFormatting sqref="M19:M23 M26:M30 M33:M37 M40:M44 M47:M51">
    <cfRule type="containsText" dxfId="0" priority="11" operator="containsText" text="Sin Recurso">
      <formula>NOT(ISERROR(SEARCH("Sin Recurso",M19)))</formula>
    </cfRule>
  </conditionalFormatting>
  <dataValidations count="51">
    <dataValidation type="list" allowBlank="1" showInputMessage="1" showErrorMessage="1" sqref="L33:L37 L19:L23 L26:L30 L47:L51 G33:G37 G19:G23 G26:G30 L40:L44 G40:G44 G47:G51" xr:uid="{00000000-0002-0000-0100-000000000000}">
      <formula1>TIPOS_RECURSOS</formula1>
    </dataValidation>
    <dataValidation type="list" allowBlank="1" showInputMessage="1" showErrorMessage="1" sqref="H19" xr:uid="{00000000-0002-0000-0100-000001000000}">
      <formula1>INDIRECT($G$19)</formula1>
    </dataValidation>
    <dataValidation type="list" allowBlank="1" showInputMessage="1" showErrorMessage="1" sqref="H20" xr:uid="{00000000-0002-0000-0100-000002000000}">
      <formula1>INDIRECT($G$20)</formula1>
    </dataValidation>
    <dataValidation type="list" allowBlank="1" showInputMessage="1" showErrorMessage="1" sqref="H23" xr:uid="{00000000-0002-0000-0100-000003000000}">
      <formula1>INDIRECT($G$23)</formula1>
    </dataValidation>
    <dataValidation type="list" allowBlank="1" showInputMessage="1" showErrorMessage="1" sqref="H26" xr:uid="{00000000-0002-0000-0100-000004000000}">
      <formula1>INDIRECT($G$26)</formula1>
    </dataValidation>
    <dataValidation type="list" allowBlank="1" showInputMessage="1" showErrorMessage="1" sqref="H27" xr:uid="{00000000-0002-0000-0100-000005000000}">
      <formula1>INDIRECT($G$27)</formula1>
    </dataValidation>
    <dataValidation type="list" allowBlank="1" showInputMessage="1" showErrorMessage="1" sqref="H30" xr:uid="{00000000-0002-0000-0100-000006000000}">
      <formula1>INDIRECT($G$30)</formula1>
    </dataValidation>
    <dataValidation type="list" allowBlank="1" showInputMessage="1" showErrorMessage="1" sqref="H33" xr:uid="{00000000-0002-0000-0100-000007000000}">
      <formula1>INDIRECT($G$33)</formula1>
    </dataValidation>
    <dataValidation type="list" allowBlank="1" showInputMessage="1" showErrorMessage="1" sqref="H34" xr:uid="{00000000-0002-0000-0100-000008000000}">
      <formula1>INDIRECT($G$34)</formula1>
    </dataValidation>
    <dataValidation type="list" allowBlank="1" showInputMessage="1" showErrorMessage="1" sqref="H37" xr:uid="{00000000-0002-0000-0100-000009000000}">
      <formula1>INDIRECT($G$37)</formula1>
    </dataValidation>
    <dataValidation type="list" allowBlank="1" showInputMessage="1" showErrorMessage="1" sqref="H40" xr:uid="{00000000-0002-0000-0100-00000A000000}">
      <formula1>INDIRECT($G$40)</formula1>
    </dataValidation>
    <dataValidation type="list" allowBlank="1" showInputMessage="1" showErrorMessage="1" sqref="H41" xr:uid="{00000000-0002-0000-0100-00000B000000}">
      <formula1>INDIRECT($G$41)</formula1>
    </dataValidation>
    <dataValidation type="list" allowBlank="1" showInputMessage="1" showErrorMessage="1" sqref="H44" xr:uid="{00000000-0002-0000-0100-00000C000000}">
      <formula1>INDIRECT($G$44)</formula1>
    </dataValidation>
    <dataValidation type="list" allowBlank="1" showInputMessage="1" showErrorMessage="1" sqref="M19" xr:uid="{00000000-0002-0000-0100-00000D000000}">
      <formula1>INDIRECT($L$19)</formula1>
    </dataValidation>
    <dataValidation type="list" allowBlank="1" showInputMessage="1" showErrorMessage="1" sqref="M20" xr:uid="{00000000-0002-0000-0100-00000E000000}">
      <formula1>INDIRECT($L$20)</formula1>
    </dataValidation>
    <dataValidation type="list" allowBlank="1" showInputMessage="1" showErrorMessage="1" sqref="M23" xr:uid="{00000000-0002-0000-0100-00000F000000}">
      <formula1>INDIRECT($L$23)</formula1>
    </dataValidation>
    <dataValidation type="list" allowBlank="1" showInputMessage="1" showErrorMessage="1" sqref="M26" xr:uid="{00000000-0002-0000-0100-000010000000}">
      <formula1>INDIRECT($L$26)</formula1>
    </dataValidation>
    <dataValidation type="list" allowBlank="1" showInputMessage="1" showErrorMessage="1" sqref="M27" xr:uid="{00000000-0002-0000-0100-000011000000}">
      <formula1>INDIRECT($L$27)</formula1>
    </dataValidation>
    <dataValidation type="list" allowBlank="1" showInputMessage="1" showErrorMessage="1" sqref="M30" xr:uid="{00000000-0002-0000-0100-000012000000}">
      <formula1>INDIRECT($L$30)</formula1>
    </dataValidation>
    <dataValidation type="list" allowBlank="1" showInputMessage="1" showErrorMessage="1" sqref="M33" xr:uid="{00000000-0002-0000-0100-000013000000}">
      <formula1>INDIRECT($L$33)</formula1>
    </dataValidation>
    <dataValidation type="list" allowBlank="1" showInputMessage="1" showErrorMessage="1" sqref="M34" xr:uid="{00000000-0002-0000-0100-000014000000}">
      <formula1>INDIRECT($L$34)</formula1>
    </dataValidation>
    <dataValidation type="list" allowBlank="1" showInputMessage="1" showErrorMessage="1" sqref="M37" xr:uid="{00000000-0002-0000-0100-000015000000}">
      <formula1>INDIRECT($L$37)</formula1>
    </dataValidation>
    <dataValidation type="list" allowBlank="1" showInputMessage="1" showErrorMessage="1" sqref="M40" xr:uid="{00000000-0002-0000-0100-000016000000}">
      <formula1>INDIRECT($L$40)</formula1>
    </dataValidation>
    <dataValidation type="list" allowBlank="1" showInputMessage="1" showErrorMessage="1" sqref="M41" xr:uid="{00000000-0002-0000-0100-000017000000}">
      <formula1>INDIRECT($L$41)</formula1>
    </dataValidation>
    <dataValidation type="list" allowBlank="1" showInputMessage="1" showErrorMessage="1" sqref="M44" xr:uid="{00000000-0002-0000-0100-000018000000}">
      <formula1>INDIRECT($L$44)</formula1>
    </dataValidation>
    <dataValidation type="list" allowBlank="1" showInputMessage="1" showErrorMessage="1" sqref="H21" xr:uid="{00000000-0002-0000-0100-000019000000}">
      <formula1>INDIRECT($G$21)</formula1>
    </dataValidation>
    <dataValidation type="list" allowBlank="1" showInputMessage="1" showErrorMessage="1" sqref="H22" xr:uid="{00000000-0002-0000-0100-00001A000000}">
      <formula1>INDIRECT($G$22)</formula1>
    </dataValidation>
    <dataValidation type="list" allowBlank="1" showInputMessage="1" showErrorMessage="1" sqref="H28" xr:uid="{00000000-0002-0000-0100-00001B000000}">
      <formula1>INDIRECT($G$28)</formula1>
    </dataValidation>
    <dataValidation type="list" allowBlank="1" showInputMessage="1" showErrorMessage="1" sqref="H29" xr:uid="{00000000-0002-0000-0100-00001C000000}">
      <formula1>INDIRECT($G$29)</formula1>
    </dataValidation>
    <dataValidation type="list" allowBlank="1" showInputMessage="1" showErrorMessage="1" sqref="H35" xr:uid="{00000000-0002-0000-0100-00001D000000}">
      <formula1>INDIRECT($G$35)</formula1>
    </dataValidation>
    <dataValidation type="list" allowBlank="1" showInputMessage="1" showErrorMessage="1" sqref="H36" xr:uid="{00000000-0002-0000-0100-00001E000000}">
      <formula1>INDIRECT($G$36)</formula1>
    </dataValidation>
    <dataValidation type="list" allowBlank="1" showInputMessage="1" showErrorMessage="1" sqref="H42" xr:uid="{00000000-0002-0000-0100-00001F000000}">
      <formula1>INDIRECT($G$42)</formula1>
    </dataValidation>
    <dataValidation type="list" allowBlank="1" showInputMessage="1" showErrorMessage="1" sqref="H43" xr:uid="{00000000-0002-0000-0100-000020000000}">
      <formula1>INDIRECT($G$43)</formula1>
    </dataValidation>
    <dataValidation type="list" allowBlank="1" showInputMessage="1" showErrorMessage="1" sqref="M21" xr:uid="{00000000-0002-0000-0100-000021000000}">
      <formula1>INDIRECT($L$21)</formula1>
    </dataValidation>
    <dataValidation type="list" allowBlank="1" showInputMessage="1" showErrorMessage="1" sqref="M22" xr:uid="{00000000-0002-0000-0100-000022000000}">
      <formula1>INDIRECT($L$22)</formula1>
    </dataValidation>
    <dataValidation type="list" allowBlank="1" showInputMessage="1" showErrorMessage="1" sqref="M28" xr:uid="{00000000-0002-0000-0100-000023000000}">
      <formula1>INDIRECT($L$28)</formula1>
    </dataValidation>
    <dataValidation type="list" allowBlank="1" showInputMessage="1" showErrorMessage="1" sqref="M29" xr:uid="{00000000-0002-0000-0100-000024000000}">
      <formula1>INDIRECT($L$29)</formula1>
    </dataValidation>
    <dataValidation type="list" allowBlank="1" showInputMessage="1" showErrorMessage="1" sqref="M35" xr:uid="{00000000-0002-0000-0100-000025000000}">
      <formula1>INDIRECT($L$35)</formula1>
    </dataValidation>
    <dataValidation type="list" allowBlank="1" showInputMessage="1" showErrorMessage="1" sqref="M36" xr:uid="{00000000-0002-0000-0100-000026000000}">
      <formula1>INDIRECT($L$36)</formula1>
    </dataValidation>
    <dataValidation type="list" allowBlank="1" showInputMessage="1" showErrorMessage="1" sqref="M42" xr:uid="{00000000-0002-0000-0100-000027000000}">
      <formula1>INDIRECT($L$42)</formula1>
    </dataValidation>
    <dataValidation type="list" allowBlank="1" showInputMessage="1" showErrorMessage="1" sqref="M43" xr:uid="{00000000-0002-0000-0100-000028000000}">
      <formula1>INDIRECT($L$43)</formula1>
    </dataValidation>
    <dataValidation type="list" allowBlank="1" showInputMessage="1" showErrorMessage="1" sqref="H47" xr:uid="{00000000-0002-0000-0100-000029000000}">
      <formula1>INDIRECT($G$47)</formula1>
    </dataValidation>
    <dataValidation type="list" allowBlank="1" showInputMessage="1" showErrorMessage="1" sqref="H48" xr:uid="{00000000-0002-0000-0100-00002A000000}">
      <formula1>INDIRECT($G$48)</formula1>
    </dataValidation>
    <dataValidation type="list" allowBlank="1" showInputMessage="1" showErrorMessage="1" sqref="H49" xr:uid="{00000000-0002-0000-0100-00002B000000}">
      <formula1>INDIRECT($G$49)</formula1>
    </dataValidation>
    <dataValidation type="list" allowBlank="1" showInputMessage="1" showErrorMessage="1" sqref="H50" xr:uid="{00000000-0002-0000-0100-00002C000000}">
      <formula1>INDIRECT($G$50)</formula1>
    </dataValidation>
    <dataValidation type="list" allowBlank="1" showInputMessage="1" showErrorMessage="1" sqref="H51" xr:uid="{00000000-0002-0000-0100-00002D000000}">
      <formula1>INDIRECT($G$51)</formula1>
    </dataValidation>
    <dataValidation type="list" allowBlank="1" showInputMessage="1" showErrorMessage="1" sqref="M47" xr:uid="{00000000-0002-0000-0100-00002E000000}">
      <formula1>INDIRECT($L$47)</formula1>
    </dataValidation>
    <dataValidation type="list" allowBlank="1" showInputMessage="1" showErrorMessage="1" sqref="M48" xr:uid="{00000000-0002-0000-0100-00002F000000}">
      <formula1>INDIRECT($L$48)</formula1>
    </dataValidation>
    <dataValidation type="list" allowBlank="1" showInputMessage="1" showErrorMessage="1" sqref="M49" xr:uid="{00000000-0002-0000-0100-000030000000}">
      <formula1>INDIRECT($L$49)</formula1>
    </dataValidation>
    <dataValidation type="list" allowBlank="1" showInputMessage="1" showErrorMessage="1" sqref="M50" xr:uid="{00000000-0002-0000-0100-000031000000}">
      <formula1>INDIRECT($L$50)</formula1>
    </dataValidation>
    <dataValidation type="list" allowBlank="1" showInputMessage="1" showErrorMessage="1" sqref="M51" xr:uid="{00000000-0002-0000-0100-000032000000}">
      <formula1>INDIRECT($L$51)</formula1>
    </dataValidation>
  </dataValidations>
  <pageMargins left="0.7" right="0.7" top="0.75" bottom="0.75" header="0" footer="0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33000000}">
          <x14:formula1>
            <xm:f>hoja1!$A$5:$A$6</xm:f>
          </x14:formula1>
          <xm:sqref>J11:J15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C6442D-0B70-47AC-93AA-96F1B14301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hoja1</vt:lpstr>
      <vt:lpstr>PRODUCCION RECURSOS</vt:lpstr>
      <vt:lpstr>RECURSOS_COLABORATIVOS</vt:lpstr>
      <vt:lpstr>RECURSOS_EDUCATIVOS_DIGITALES</vt:lpstr>
      <vt:lpstr>RECURSOS_EVALUATIVOS</vt:lpstr>
      <vt:lpstr>RECURSOS_EXTERNOS</vt:lpstr>
      <vt:lpstr>RECURSOS_INTERACTIVOS_DIGITALES</vt:lpstr>
      <vt:lpstr>SELECCIONE_EL_TIPO_DE_RECURSO</vt:lpstr>
      <vt:lpstr>TIPOS_RECURSOS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Efrain Leal Rey</dc:creator>
  <cp:keywords/>
  <dc:description/>
  <cp:lastModifiedBy>Edinson Alvarez</cp:lastModifiedBy>
  <cp:revision/>
  <dcterms:created xsi:type="dcterms:W3CDTF">2018-02-22T16:53:01Z</dcterms:created>
  <dcterms:modified xsi:type="dcterms:W3CDTF">2025-11-19T13:42:23Z</dcterms:modified>
  <cp:category/>
  <cp:contentStatus/>
</cp:coreProperties>
</file>